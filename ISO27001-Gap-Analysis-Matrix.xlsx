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Lookup" sheetId="2" state="hidden" r:id="rId4"/>
    <sheet name="Gap Analysi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<sst xmlns="http://schemas.openxmlformats.org/spreadsheetml/2006/main" count="190" uniqueCount="131">
  <si>
    <t xml:space="preserve">ISO/IEC 27001:2022 Gap Analysis — Dashboard</t>
  </si>
  <si>
    <t xml:space="preserve">Meridian Trust Financial Services (fictional portfolio project)</t>
  </si>
  <si>
    <t xml:space="preserve">Risk Rating Distribution</t>
  </si>
  <si>
    <t xml:space="preserve">Maturity Summary</t>
  </si>
  <si>
    <t xml:space="preserve">Rating</t>
  </si>
  <si>
    <t xml:space="preserve">Count</t>
  </si>
  <si>
    <t xml:space="preserve">Metric</t>
  </si>
  <si>
    <t xml:space="preserve">Value</t>
  </si>
  <si>
    <t xml:space="preserve">Critical</t>
  </si>
  <si>
    <t xml:space="preserve">Avg. Current Maturity</t>
  </si>
  <si>
    <t xml:space="preserve">High</t>
  </si>
  <si>
    <t xml:space="preserve">Avg. Target Maturity</t>
  </si>
  <si>
    <t xml:space="preserve">Medium</t>
  </si>
  <si>
    <t xml:space="preserve">Avg. Maturity Gap</t>
  </si>
  <si>
    <t xml:space="preserve">Low</t>
  </si>
  <si>
    <t xml:space="preserve">Avg. Maturity — Access Control</t>
  </si>
  <si>
    <t xml:space="preserve">Avg. Maturity — Supplier Relationships</t>
  </si>
  <si>
    <t xml:space="preserve">Total Controls Assessed</t>
  </si>
  <si>
    <t xml:space="preserve">Legend: Risk Rating = Maturity Gap × Business Impact Weight. See docs/02-methodology.md for scoring detail.</t>
  </si>
  <si>
    <t xml:space="preserve">Business Impact</t>
  </si>
  <si>
    <t xml:space="preserve">Weight</t>
  </si>
  <si>
    <t xml:space="preserve">Min Score</t>
  </si>
  <si>
    <t xml:space="preserve">Max Score</t>
  </si>
  <si>
    <t xml:space="preserve">Status Options</t>
  </si>
  <si>
    <t xml:space="preserve">Maturity Scale</t>
  </si>
  <si>
    <t xml:space="preserve">Not Started</t>
  </si>
  <si>
    <t xml:space="preserve">Not Implemented</t>
  </si>
  <si>
    <t xml:space="preserve">In Progress</t>
  </si>
  <si>
    <t xml:space="preserve">Ad Hoc</t>
  </si>
  <si>
    <t xml:space="preserve">Complete</t>
  </si>
  <si>
    <t xml:space="preserve">Repeatable</t>
  </si>
  <si>
    <t xml:space="preserve">Defined</t>
  </si>
  <si>
    <t xml:space="preserve">Managed</t>
  </si>
  <si>
    <t xml:space="preserve">Optimized</t>
  </si>
  <si>
    <t xml:space="preserve">ISO/IEC 27001:2022 Gap Analysis — Access Control &amp; Supplier Relationship Domains</t>
  </si>
  <si>
    <t xml:space="preserve">Meridian Trust Financial Services (fictional) | Assessment Date: 2026-07-04 | Assessor: GRC Analyst</t>
  </si>
  <si>
    <t xml:space="preserve">Control ID</t>
  </si>
  <si>
    <t xml:space="preserve">Control Name</t>
  </si>
  <si>
    <t xml:space="preserve">Domain</t>
  </si>
  <si>
    <t xml:space="preserve">Current State / Evidence</t>
  </si>
  <si>
    <t xml:space="preserve">Identified Gap</t>
  </si>
  <si>
    <t xml:space="preserve">Current
Maturity</t>
  </si>
  <si>
    <t xml:space="preserve">Target
Maturity</t>
  </si>
  <si>
    <t xml:space="preserve">Maturity
Gap</t>
  </si>
  <si>
    <t xml:space="preserve">Business
Impact</t>
  </si>
  <si>
    <t xml:space="preserve">Impact
Weight</t>
  </si>
  <si>
    <t xml:space="preserve">Risk
Score</t>
  </si>
  <si>
    <t xml:space="preserve">Risk
Rating</t>
  </si>
  <si>
    <t xml:space="preserve">Recommended Remediation</t>
  </si>
  <si>
    <t xml:space="preserve">Owner</t>
  </si>
  <si>
    <t xml:space="preserve">Target Date</t>
  </si>
  <si>
    <t xml:space="preserve">Status</t>
  </si>
  <si>
    <t xml:space="preserve">A.5.15</t>
  </si>
  <si>
    <t xml:space="preserve">Access Control</t>
  </si>
  <si>
    <t xml:space="preserve">Role-based access enforced in the core lending platform via AWS IAM groups. No formal, approved Access Control Policy document exists; onboarding/offboarding access requests are handled ad hoc by IT via Slack messages.</t>
  </si>
  <si>
    <t xml:space="preserve">No approved, documented Access Control Policy defining access principles (least privilege, need-to-know), request/approval workflow, or periodic review cadence.</t>
  </si>
  <si>
    <t xml:space="preserve">Draft and obtain executive approval for an Access Control Policy aligned to ISO/IEC 27002:2022 guidance; move access requests into the IT ticketing system with a documented approval workflow.</t>
  </si>
  <si>
    <t xml:space="preserve">IT Manager</t>
  </si>
  <si>
    <t xml:space="preserve">2026-10-01</t>
  </si>
  <si>
    <t xml:space="preserve">A.5.16</t>
  </si>
  <si>
    <t xml:space="preserve">Identity Management</t>
  </si>
  <si>
    <t xml:space="preserve">Azure AD serves as the central identity provider for all SaaS and core platform accounts. A documented Joiner-Mover-Leaver (JML) procedure is maintained jointly by HR Ops and IT.</t>
  </si>
  <si>
    <t xml:space="preserve">Minor: the JML procedure has not been formally reviewed in over 12 months and has no scheduled review cadence.</t>
  </si>
  <si>
    <t xml:space="preserve">Add the JML procedure to the annual policy review calendar; assign a named document owner.</t>
  </si>
  <si>
    <t xml:space="preserve">HR Ops Lead</t>
  </si>
  <si>
    <t xml:space="preserve">2026-09-01</t>
  </si>
  <si>
    <t xml:space="preserve">A.5.17</t>
  </si>
  <si>
    <t xml:space="preserve">Authentication Information</t>
  </si>
  <si>
    <t xml:space="preserve">Password policy enforced via Azure AD Conditional Access (minimum length, complexity, expiry). Shared service-account credentials for the payment processor integration are stored in a shared spreadsheet accessible to the full IT team.</t>
  </si>
  <si>
    <t xml:space="preserve">No secrets management solution in place; shared/service account credentials are not vaulted, rotated, or individually attributable.</t>
  </si>
  <si>
    <t xml:space="preserve">Deploy a secrets management solution (e.g., Azure Key Vault) for all service account and API credentials; retire the shared spreadsheet and rotate exposed credentials.</t>
  </si>
  <si>
    <t xml:space="preserve">2026-09-15</t>
  </si>
  <si>
    <t xml:space="preserve">A.5.18</t>
  </si>
  <si>
    <t xml:space="preserve">Access Rights</t>
  </si>
  <si>
    <t xml:space="preserve">Access is provisioned based on role at hire. No periodic (e.g., quarterly) access recertification process exists; the last full access review was informal and undocumented, approximately 14 months ago.</t>
  </si>
  <si>
    <t xml:space="preserve">No formal, recurring access review/recertification process with an auditable sign-off trail.</t>
  </si>
  <si>
    <t xml:space="preserve">Implement quarterly access recertification for all systems in scope, with sign-off tracked and archived in the ticketing system.</t>
  </si>
  <si>
    <t xml:space="preserve">2026-10-15</t>
  </si>
  <si>
    <t xml:space="preserve">A.8.2</t>
  </si>
  <si>
    <t xml:space="preserve">Privileged Access Rights</t>
  </si>
  <si>
    <t xml:space="preserve">8 IT staff hold standing AWS admin-equivalent access. No privileged access management (PAM) tooling is in use; there is no just-in-time elevation and no session recording for privileged activity.</t>
  </si>
  <si>
    <t xml:space="preserve">No PAM solution; excessive standing privileged access; no monitoring or logging of privileged sessions.</t>
  </si>
  <si>
    <t xml:space="preserve">Implement a PAM solution for just-in-time privileged access elevation; reduce standing admin accounts to a documented minimum; enable session logging and alerting for privileged activity.</t>
  </si>
  <si>
    <t xml:space="preserve">2026-11-01</t>
  </si>
  <si>
    <t xml:space="preserve">A.8.3</t>
  </si>
  <si>
    <t xml:space="preserve">Information Access Restriction</t>
  </si>
  <si>
    <t xml:space="preserve">Application-level access is restricted through role-based permissions within the core lending platform; database access is restricted to the DBA team via least-privilege AWS IAM roles.</t>
  </si>
  <si>
    <t xml:space="preserve">Minor: access restriction rules are not documented in a formal access control matrix, relying instead on institutional knowledge.</t>
  </si>
  <si>
    <t xml:space="preserve">Document the current access restriction model in a formal, maintained access control matrix.</t>
  </si>
  <si>
    <t xml:space="preserve">A.8.4</t>
  </si>
  <si>
    <t xml:space="preserve">Access to Source Code</t>
  </si>
  <si>
    <t xml:space="preserve">Source code is hosted in GitHub Enterprise Cloud with repository access managed via GitHub Teams. During interviews, two former contractors' accounts were found still active with repository access.</t>
  </si>
  <si>
    <t xml:space="preserve">The offboarding process does not reliably revoke source code repository access; no periodic review of GitHub organization membership exists.</t>
  </si>
  <si>
    <t xml:space="preserve">Add GitHub org access revocation as a mandatory step on the JML offboarding checklist; conduct a quarterly review of GitHub organization membership.</t>
  </si>
  <si>
    <t xml:space="preserve">Engineering Lead</t>
  </si>
  <si>
    <t xml:space="preserve">2026-08-15</t>
  </si>
  <si>
    <t xml:space="preserve">A.8.5</t>
  </si>
  <si>
    <t xml:space="preserve">Secure Authentication</t>
  </si>
  <si>
    <t xml:space="preserve">MFA is enforced organization-wide via Azure AD Conditional Access for all SaaS applications and VPN access. The core lending platform's admin console does not currently enforce MFA due to a legacy integration constraint.</t>
  </si>
  <si>
    <t xml:space="preserve">One critical system (core platform admin console) lacks MFA enforcement.</t>
  </si>
  <si>
    <t xml:space="preserve">Prioritize MFA enablement for the core platform admin console; if a vendor fix is not near-term, apply compensating controls (IP allow-listing, reduced session timeout) in the interim.</t>
  </si>
  <si>
    <t xml:space="preserve">2026-08-01</t>
  </si>
  <si>
    <t xml:space="preserve">A.5.19</t>
  </si>
  <si>
    <t xml:space="preserve">Info. Security in Supplier Relationships</t>
  </si>
  <si>
    <t xml:space="preserve">Supplier Relationships</t>
  </si>
  <si>
    <t xml:space="preserve">No formal supplier information security due diligence process exists. Vendor selection is driven by procurement and cost criteria without a security questionnaire or risk tiering step.</t>
  </si>
  <si>
    <t xml:space="preserve">No documented supplier security risk assessment process; vendors are not risk-tiered based on data access or criticality.</t>
  </si>
  <si>
    <t xml:space="preserve">Implement a vendor risk tiering model and a standardized security due diligence questionnaire (e.g., SIG Lite) for new and existing suppliers.</t>
  </si>
  <si>
    <t xml:space="preserve">GRC Analyst</t>
  </si>
  <si>
    <t xml:space="preserve">A.5.20</t>
  </si>
  <si>
    <t xml:space="preserve">Info. Security in Supplier Agreements</t>
  </si>
  <si>
    <t xml:space="preserve">The standard vendor contract template includes a generic confidentiality clause. No standardized information security schedule/exhibit covers breach notification timelines, right-to-audit, or data handling requirements.</t>
  </si>
  <si>
    <t xml:space="preserve">Contracts lack a standardized security and data protection schedule with enforceable terms (e.g., 72-hour breach notification, audit rights).</t>
  </si>
  <si>
    <t xml:space="preserve">Develop a standard Information Security Exhibit for vendor contracts; work with Legal to retroactively amend agreements with top-tier vendors (payment processor, KYC/AML vendor).</t>
  </si>
  <si>
    <t xml:space="preserve">2026-11-15</t>
  </si>
  <si>
    <t xml:space="preserve">A.5.21</t>
  </si>
  <si>
    <t xml:space="preserve">Managing Info. Security in ICT Supply Chain</t>
  </si>
  <si>
    <t xml:space="preserve">No visibility exists into sub-processors used by the KYC/AML screening vendor or the payment processor. Vendor contracts do not require disclosure of fourth-party relationships.</t>
  </si>
  <si>
    <t xml:space="preserve">No ICT supply chain risk management process; fourth-party risk is currently unmanaged.</t>
  </si>
  <si>
    <t xml:space="preserve">Require key vendors to disclose sub-processors as part of onboarding and annual review; add fourth-party risk review to the vendor assessment cycle.</t>
  </si>
  <si>
    <t xml:space="preserve">2026-12-01</t>
  </si>
  <si>
    <t xml:space="preserve">A.5.22</t>
  </si>
  <si>
    <t xml:space="preserve">Monitoring &amp; Review of Supplier Services</t>
  </si>
  <si>
    <t xml:space="preserve">No periodic vendor security review process exists. Vendor SOC 2 reports, where available, are collected at onboarding but are not reviewed on a recurring basis.</t>
  </si>
  <si>
    <t xml:space="preserve">No ongoing vendor monitoring cadence; SOC 2/attestation reports are not reviewed annually and risk tiers are never reassessed.</t>
  </si>
  <si>
    <t xml:space="preserve">Establish an annual vendor security review cycle that includes SOC 2 report review and risk-tier reassessment for all Tier 1 and Tier 2 vendors.</t>
  </si>
  <si>
    <t xml:space="preserve">A.5.23</t>
  </si>
  <si>
    <t xml:space="preserve">Info. Security for Use of Cloud Services</t>
  </si>
  <si>
    <t xml:space="preserve">AWS is the primary cloud provider. IT has an informal understanding of the Shared Responsibility Model, but there is no documented Cloud Security Policy, no CSPM tooling, and S3 bucket configurations are reviewed manually and infrequently.</t>
  </si>
  <si>
    <t xml:space="preserve">No formal Cloud Security Policy; no automated cloud security posture monitoring; manual, infrequent configuration reviews create configuration-drift risk.</t>
  </si>
  <si>
    <t xml:space="preserve">Adopt a CSPM tool for continuous AWS configuration monitoring; document a Cloud Security Policy covering the shared responsibility model, encryption standards, and configuration baselines.</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</si>
</sst>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10"/>
      <name val="Arial"/>
      <family val="0"/>
      <charset val="1"/>
    </font>
    <font>
      <b val="true"/>
      <sz val="12"/>
      <name val="Arial"/>
      <family val="0"/>
      <charset val="1"/>
    </font>
    <font>
      <b val="true"/>
      <sz val="10"/>
      <name val="Arial"/>
      <family val="0"/>
      <charset val="1"/>
    </font>
    <font>
      <b val="true"/>
      <sz val="11"/>
      <color rgb="FFFFFFFF"/>
      <name val="Arial"/>
      <family val="0"/>
      <charset val="1"/>
    </font>
    <font>
      <sz val="10"/>
      <name val="Arial"/>
      <family val="0"/>
      <charset val="1"/>
    </font>
    <font>
      <i val="true"/>
      <sz val="9"/>
      <color rgb="FF80808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FFFFFF"/>
      <name val="Arial"/>
      <family val="0"/>
      <charset val="1"/>
    </font>
    <font>
      <sz val="10"/>
      <color rgb="FF0000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C00000"/>
        <bgColor rgb="FF800000"/>
      </patternFill>
    </fill>
    <fill>
      <patternFill patternType="solid">
        <fgColor rgb="FFED7D31"/>
        <bgColor rgb="FFFF8080"/>
      </patternFill>
    </fill>
    <fill>
      <patternFill patternType="solid">
        <fgColor rgb="FFFFC000"/>
        <bgColor rgb="FFFF9900"/>
      </patternFill>
    </fill>
    <fill>
      <patternFill patternType="solid">
        <fgColor rgb="FF70AD47"/>
        <bgColor rgb="FF878787"/>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FFFFFF"/>
        <sz val="10"/>
      </font>
      <fill>
        <patternFill>
          <bgColor rgb="FFC00000"/>
        </patternFill>
      </fill>
    </dxf>
    <dxf>
      <font>
        <name val="Arial"/>
        <charset val="1"/>
        <family val="0"/>
        <b val="1"/>
        <color rgb="FFFFFFFF"/>
        <sz val="10"/>
      </font>
      <fill>
        <patternFill>
          <bgColor rgb="FFED7D31"/>
        </patternFill>
      </fill>
    </dxf>
    <dxf>
      <font>
        <name val="Arial"/>
        <charset val="1"/>
        <family val="0"/>
        <b val="1"/>
        <color rgb="FFFFFFFF"/>
        <sz val="10"/>
      </font>
      <fill>
        <patternFill>
          <bgColor rgb="FFFFC000"/>
        </patternFill>
      </fill>
    </dxf>
    <dxf>
      <font>
        <name val="Arial"/>
        <charset val="1"/>
        <family val="0"/>
        <b val="1"/>
        <color rgb="FFFFFFFF"/>
        <sz val="10"/>
      </font>
      <fill>
        <patternFill>
          <bgColor rgb="FF70AD47"/>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ED7D31"/>
      <rgbColor rgb="FF4F81BD"/>
      <rgbColor rgb="FF878787"/>
      <rgbColor rgb="FF1F3864"/>
      <rgbColor rgb="FF70AD4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Risk Rating Distribution</a:t>
            </a:r>
          </a:p>
        </c:rich>
      </c:tx>
      <c:overlay val="0"/>
      <c:spPr>
        <a:noFill/>
        <a:ln w="0">
          <a:noFill/>
        </a:ln>
      </c:spPr>
    </c:title>
    <c:autoTitleDeleted val="0"/>
    <c:plotArea>
      <c:barChart>
        <c:barDir val="col"/>
        <c:grouping val="clustered"/>
        <c:varyColors val="0"/>
        <c:ser>
          <c:idx val="0"/>
          <c:order val="0"/>
          <c:tx>
            <c:strRef>
              <c:f>Dashboard!B5</c:f>
              <c:strCache>
                <c:ptCount val="1"/>
                <c:pt idx="0">
                  <c:v>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Dashboard!$A$6:$A$9</c:f>
              <c:strCache>
                <c:ptCount val="4"/>
                <c:pt idx="0">
                  <c:v>Critical</c:v>
                </c:pt>
                <c:pt idx="1">
                  <c:v>High</c:v>
                </c:pt>
                <c:pt idx="2">
                  <c:v>Medium</c:v>
                </c:pt>
                <c:pt idx="3">
                  <c:v>Low</c:v>
                </c:pt>
              </c:strCache>
            </c:strRef>
          </c:cat>
          <c:val>
            <c:numRef>
              <c:f>Dashboard!$B$6:$B$9</c:f>
              <c:numCache>
                <c:formatCode>General</c:formatCode>
                <c:ptCount val="4"/>
                <c:pt idx="0">
                  <c:v>1</c:v>
                </c:pt>
                <c:pt idx="1">
                  <c:v>5</c:v>
                </c:pt>
                <c:pt idx="2">
                  <c:v>5</c:v>
                </c:pt>
                <c:pt idx="3">
                  <c:v>2</c:v>
                </c:pt>
              </c:numCache>
            </c:numRef>
          </c:val>
        </c:ser>
        <c:gapWidth val="150"/>
        <c:overlap val="0"/>
        <c:axId val="43881868"/>
        <c:axId val="18904979"/>
      </c:barChart>
      <c:catAx>
        <c:axId val="4388186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Risk Rating</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04979"/>
        <c:crosses val="autoZero"/>
        <c:auto val="1"/>
        <c:lblAlgn val="ctr"/>
        <c:lblOffset val="100"/>
        <c:noMultiLvlLbl val="0"/>
      </c:catAx>
      <c:valAx>
        <c:axId val="1890497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Controls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88186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3</xdr:col>
      <xdr:colOff>1726920</xdr:colOff>
      <xdr:row>27</xdr:row>
      <xdr:rowOff>21960</xdr:rowOff>
    </xdr:to>
    <xdr:graphicFrame>
      <xdr:nvGraphicFramePr>
        <xdr:cNvPr id="0" name="Chart 1"/>
        <xdr:cNvGraphicFramePr/>
      </xdr:nvGraphicFramePr>
      <xdr:xfrm>
        <a:off x="0" y="241920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3" min="3" style="0" width="3"/>
    <col collapsed="false" customWidth="true" hidden="false" outlineLevel="0" max="4" min="4" style="0" width="28"/>
    <col collapsed="false" customWidth="true" hidden="false" outlineLevel="0" max="5" min="5" style="0" width="16"/>
  </cols>
  <sheetData>
    <row r="1" customFormat="false" ht="25.5" hidden="false" customHeight="tru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c r="D4" s="3" t="s">
        <v>3</v>
      </c>
    </row>
    <row r="5" customFormat="false" ht="15" hidden="false" customHeight="false" outlineLevel="0" collapsed="false">
      <c r="A5" s="4" t="s">
        <v>4</v>
      </c>
      <c r="B5" s="4" t="s">
        <v>5</v>
      </c>
      <c r="D5" s="4" t="s">
        <v>6</v>
      </c>
      <c r="E5" s="4" t="s">
        <v>7</v>
      </c>
    </row>
    <row r="6" customFormat="false" ht="15" hidden="false" customHeight="false" outlineLevel="0" collapsed="false">
      <c r="A6" s="5" t="s">
        <v>8</v>
      </c>
      <c r="B6" s="6" t="n">
        <f aca="false">COUNTIF('Gap Analysis'!$L$4:$L$16,A6)</f>
        <v>1</v>
      </c>
      <c r="D6" s="7" t="s">
        <v>9</v>
      </c>
      <c r="E6" s="7" t="n">
        <f aca="false">ROUND(AVERAGE('Gap Analysis'!$F$4:$F$16),2)</f>
        <v>1.92</v>
      </c>
    </row>
    <row r="7" customFormat="false" ht="15" hidden="false" customHeight="false" outlineLevel="0" collapsed="false">
      <c r="A7" s="8" t="s">
        <v>10</v>
      </c>
      <c r="B7" s="6" t="n">
        <f aca="false">COUNTIF('Gap Analysis'!$L$4:$L$16,A7)</f>
        <v>5</v>
      </c>
      <c r="D7" s="7" t="s">
        <v>11</v>
      </c>
      <c r="E7" s="7" t="n">
        <f aca="false">ROUND(AVERAGE('Gap Analysis'!$G$4:$G$16),2)</f>
        <v>3.38</v>
      </c>
    </row>
    <row r="8" customFormat="false" ht="15" hidden="false" customHeight="false" outlineLevel="0" collapsed="false">
      <c r="A8" s="9" t="s">
        <v>12</v>
      </c>
      <c r="B8" s="6" t="n">
        <f aca="false">COUNTIF('Gap Analysis'!$L$4:$L$16,A8)</f>
        <v>5</v>
      </c>
      <c r="D8" s="7" t="s">
        <v>13</v>
      </c>
      <c r="E8" s="7" t="n">
        <f aca="false">ROUND(AVERAGE('Gap Analysis'!$H$4:$H$16),2)</f>
        <v>1.46</v>
      </c>
    </row>
    <row r="9" customFormat="false" ht="15" hidden="false" customHeight="false" outlineLevel="0" collapsed="false">
      <c r="A9" s="10" t="s">
        <v>14</v>
      </c>
      <c r="B9" s="6" t="n">
        <f aca="false">COUNTIF('Gap Analysis'!$L$4:$L$16,A9)</f>
        <v>2</v>
      </c>
      <c r="D9" s="7" t="s">
        <v>15</v>
      </c>
      <c r="E9" s="7" t="n">
        <f aca="false">ROUND(AVERAGEIF('Gap Analysis'!$C$4:$C$16,"Access Control",'Gap Analysis'!$F$4:$F$16),2)</f>
        <v>2.25</v>
      </c>
    </row>
    <row r="10" customFormat="false" ht="15" hidden="false" customHeight="false" outlineLevel="0" collapsed="false">
      <c r="A10" s="6"/>
      <c r="B10" s="6"/>
      <c r="D10" s="7" t="s">
        <v>16</v>
      </c>
      <c r="E10" s="7" t="n">
        <f aca="false">ROUND(AVERAGEIF('Gap Analysis'!$C$4:$C$16,"Supplier Relationships",'Gap Analysis'!$F$4:$F$16),2)</f>
        <v>1.4</v>
      </c>
    </row>
    <row r="11" customFormat="false" ht="15" hidden="false" customHeight="false" outlineLevel="0" collapsed="false">
      <c r="A11" s="4" t="s">
        <v>17</v>
      </c>
      <c r="B11" s="6" t="n">
        <f aca="false">COUNTA('Gap Analysis'!$A$4:$A$16)</f>
        <v>13</v>
      </c>
    </row>
    <row r="28" customFormat="false" ht="15" hidden="false" customHeight="false" outlineLevel="0" collapsed="false">
      <c r="A28" s="11" t="s">
        <v>18</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19</v>
      </c>
      <c r="B1" s="0" t="s">
        <v>20</v>
      </c>
      <c r="D1" s="0" t="s">
        <v>21</v>
      </c>
      <c r="E1" s="0" t="s">
        <v>22</v>
      </c>
      <c r="F1" s="0" t="s">
        <v>4</v>
      </c>
      <c r="H1" s="0" t="s">
        <v>23</v>
      </c>
      <c r="J1" s="0" t="s">
        <v>24</v>
      </c>
    </row>
    <row r="2" customFormat="false" ht="15" hidden="false" customHeight="false" outlineLevel="0" collapsed="false">
      <c r="A2" s="0" t="s">
        <v>10</v>
      </c>
      <c r="B2" s="0" t="n">
        <v>3</v>
      </c>
      <c r="D2" s="0" t="n">
        <v>9</v>
      </c>
      <c r="E2" s="0" t="n">
        <v>15</v>
      </c>
      <c r="F2" s="0" t="s">
        <v>8</v>
      </c>
      <c r="H2" s="0" t="s">
        <v>25</v>
      </c>
      <c r="J2" s="0" t="n">
        <v>0</v>
      </c>
      <c r="K2" s="0" t="s">
        <v>26</v>
      </c>
    </row>
    <row r="3" customFormat="false" ht="15" hidden="false" customHeight="false" outlineLevel="0" collapsed="false">
      <c r="A3" s="0" t="s">
        <v>12</v>
      </c>
      <c r="B3" s="0" t="n">
        <v>2</v>
      </c>
      <c r="D3" s="0" t="n">
        <v>6</v>
      </c>
      <c r="E3" s="0" t="n">
        <v>8</v>
      </c>
      <c r="F3" s="0" t="s">
        <v>10</v>
      </c>
      <c r="H3" s="0" t="s">
        <v>27</v>
      </c>
      <c r="J3" s="0" t="n">
        <v>1</v>
      </c>
      <c r="K3" s="0" t="s">
        <v>28</v>
      </c>
    </row>
    <row r="4" customFormat="false" ht="15" hidden="false" customHeight="false" outlineLevel="0" collapsed="false">
      <c r="A4" s="0" t="s">
        <v>14</v>
      </c>
      <c r="B4" s="0" t="n">
        <v>1</v>
      </c>
      <c r="D4" s="0" t="n">
        <v>3</v>
      </c>
      <c r="E4" s="0" t="n">
        <v>5</v>
      </c>
      <c r="F4" s="0" t="s">
        <v>12</v>
      </c>
      <c r="H4" s="0" t="s">
        <v>29</v>
      </c>
      <c r="J4" s="0" t="n">
        <v>2</v>
      </c>
      <c r="K4" s="0" t="s">
        <v>30</v>
      </c>
    </row>
    <row r="5" customFormat="false" ht="15" hidden="false" customHeight="false" outlineLevel="0" collapsed="false">
      <c r="D5" s="0" t="n">
        <v>0</v>
      </c>
      <c r="E5" s="0" t="n">
        <v>2</v>
      </c>
      <c r="F5" s="0" t="s">
        <v>14</v>
      </c>
      <c r="J5" s="0" t="n">
        <v>3</v>
      </c>
      <c r="K5" s="0" t="s">
        <v>31</v>
      </c>
    </row>
    <row r="6" customFormat="false" ht="15" hidden="false" customHeight="false" outlineLevel="0" collapsed="false">
      <c r="J6" s="0" t="n">
        <v>4</v>
      </c>
      <c r="K6" s="0" t="s">
        <v>32</v>
      </c>
    </row>
    <row r="7" customFormat="false" ht="15" hidden="false" customHeight="false" outlineLevel="0" collapsed="false">
      <c r="J7" s="0" t="n">
        <v>5</v>
      </c>
      <c r="K7" s="0"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4"/>
    <col collapsed="false" customWidth="true" hidden="false" outlineLevel="0" max="3" min="3" style="0" width="16"/>
    <col collapsed="false" customWidth="true" hidden="false" outlineLevel="0" max="4" min="4" style="0" width="42"/>
    <col collapsed="false" customWidth="true" hidden="false" outlineLevel="0" max="5" min="5" style="0" width="40"/>
    <col collapsed="false" customWidth="true" hidden="false" outlineLevel="0" max="8" min="6" style="0" width="9"/>
    <col collapsed="false" customWidth="true" hidden="false" outlineLevel="0" max="9" min="9" style="0" width="11"/>
    <col collapsed="false" customWidth="true" hidden="false" outlineLevel="0" max="10" min="10" style="0" width="9"/>
    <col collapsed="false" customWidth="true" hidden="false" outlineLevel="0" max="11" min="11" style="0" width="8"/>
    <col collapsed="false" customWidth="true" hidden="false" outlineLevel="0" max="12" min="12" style="0" width="10"/>
    <col collapsed="false" customWidth="true" hidden="false" outlineLevel="0" max="13" min="13" style="0" width="40"/>
    <col collapsed="false" customWidth="true" hidden="false" outlineLevel="0" max="14" min="14" style="0" width="16"/>
    <col collapsed="false" customWidth="true" hidden="false" outlineLevel="0" max="15" min="15" style="0" width="12"/>
    <col collapsed="false" customWidth="true" hidden="false" outlineLevel="0" max="16" min="16" style="0" width="13"/>
  </cols>
  <sheetData>
    <row r="1" customFormat="false" ht="24" hidden="false" customHeight="true" outlineLevel="0" collapsed="false">
      <c r="A1" s="12" t="s">
        <v>34</v>
      </c>
      <c r="B1" s="12"/>
      <c r="C1" s="12"/>
      <c r="D1" s="12"/>
      <c r="E1" s="12"/>
      <c r="F1" s="12"/>
      <c r="G1" s="12"/>
      <c r="H1" s="12"/>
      <c r="I1" s="12"/>
      <c r="J1" s="12"/>
      <c r="K1" s="12"/>
      <c r="L1" s="12"/>
      <c r="M1" s="12"/>
      <c r="N1" s="12"/>
      <c r="O1" s="12"/>
      <c r="P1" s="12"/>
    </row>
    <row r="2" customFormat="false" ht="15.75" hidden="false" customHeight="true" outlineLevel="0" collapsed="false">
      <c r="A2" s="2" t="s">
        <v>35</v>
      </c>
      <c r="B2" s="2"/>
      <c r="C2" s="2"/>
      <c r="D2" s="2"/>
      <c r="E2" s="2"/>
      <c r="F2" s="2"/>
      <c r="G2" s="2"/>
      <c r="H2" s="2"/>
      <c r="I2" s="2"/>
      <c r="J2" s="2"/>
      <c r="K2" s="2"/>
      <c r="L2" s="2"/>
      <c r="M2" s="2"/>
      <c r="N2" s="2"/>
      <c r="O2" s="2"/>
      <c r="P2" s="2"/>
    </row>
    <row r="3" customFormat="false" ht="30" hidden="false" customHeight="true" outlineLevel="0" collapsed="false">
      <c r="A3" s="13" t="s">
        <v>36</v>
      </c>
      <c r="B3" s="13" t="s">
        <v>37</v>
      </c>
      <c r="C3" s="13" t="s">
        <v>38</v>
      </c>
      <c r="D3" s="13" t="s">
        <v>39</v>
      </c>
      <c r="E3" s="13" t="s">
        <v>40</v>
      </c>
      <c r="F3" s="13" t="s">
        <v>41</v>
      </c>
      <c r="G3" s="13" t="s">
        <v>42</v>
      </c>
      <c r="H3" s="13" t="s">
        <v>43</v>
      </c>
      <c r="I3" s="13" t="s">
        <v>44</v>
      </c>
      <c r="J3" s="13" t="s">
        <v>45</v>
      </c>
      <c r="K3" s="13" t="s">
        <v>46</v>
      </c>
      <c r="L3" s="13" t="s">
        <v>47</v>
      </c>
      <c r="M3" s="13" t="s">
        <v>48</v>
      </c>
      <c r="N3" s="13" t="s">
        <v>49</v>
      </c>
      <c r="O3" s="13" t="s">
        <v>50</v>
      </c>
      <c r="P3" s="13" t="s">
        <v>51</v>
      </c>
    </row>
    <row r="4" customFormat="false" ht="90" hidden="false" customHeight="true" outlineLevel="0" collapsed="false">
      <c r="A4" s="14" t="s">
        <v>52</v>
      </c>
      <c r="B4" s="15" t="s">
        <v>53</v>
      </c>
      <c r="C4" s="15" t="s">
        <v>53</v>
      </c>
      <c r="D4" s="16" t="s">
        <v>54</v>
      </c>
      <c r="E4" s="16" t="s">
        <v>55</v>
      </c>
      <c r="F4" s="17" t="n">
        <v>2</v>
      </c>
      <c r="G4" s="17" t="n">
        <v>3</v>
      </c>
      <c r="H4" s="14" t="n">
        <f aca="false">G4-F4</f>
        <v>1</v>
      </c>
      <c r="I4" s="18" t="s">
        <v>10</v>
      </c>
      <c r="J4" s="14" t="n">
        <f aca="false">VLOOKUP(I4,Lookup!$A$2:$B$4,2,FALSE())</f>
        <v>3</v>
      </c>
      <c r="K4" s="14" t="n">
        <f aca="false">H4*J4</f>
        <v>3</v>
      </c>
      <c r="L4" s="14" t="str">
        <f aca="false">IF(K4&gt;=Lookup!$D$2,Lookup!$F$2,IF(K4&gt;=Lookup!$D$3,Lookup!$F$3,IF(K4&gt;=Lookup!$D$4,Lookup!$F$4,Lookup!$F$5)))</f>
        <v>Medium</v>
      </c>
      <c r="M4" s="16" t="s">
        <v>56</v>
      </c>
      <c r="N4" s="18" t="s">
        <v>57</v>
      </c>
      <c r="O4" s="18" t="s">
        <v>58</v>
      </c>
      <c r="P4" s="18" t="s">
        <v>25</v>
      </c>
    </row>
    <row r="5" customFormat="false" ht="90" hidden="false" customHeight="true" outlineLevel="0" collapsed="false">
      <c r="A5" s="14" t="s">
        <v>59</v>
      </c>
      <c r="B5" s="15" t="s">
        <v>60</v>
      </c>
      <c r="C5" s="15" t="s">
        <v>53</v>
      </c>
      <c r="D5" s="16" t="s">
        <v>61</v>
      </c>
      <c r="E5" s="16" t="s">
        <v>62</v>
      </c>
      <c r="F5" s="17" t="n">
        <v>3</v>
      </c>
      <c r="G5" s="17" t="n">
        <v>3</v>
      </c>
      <c r="H5" s="14" t="n">
        <f aca="false">G5-F5</f>
        <v>0</v>
      </c>
      <c r="I5" s="18" t="s">
        <v>12</v>
      </c>
      <c r="J5" s="14" t="n">
        <f aca="false">VLOOKUP(I5,Lookup!$A$2:$B$4,2,FALSE())</f>
        <v>2</v>
      </c>
      <c r="K5" s="14" t="n">
        <f aca="false">H5*J5</f>
        <v>0</v>
      </c>
      <c r="L5" s="14" t="str">
        <f aca="false">IF(K5&gt;=Lookup!$D$2,Lookup!$F$2,IF(K5&gt;=Lookup!$D$3,Lookup!$F$3,IF(K5&gt;=Lookup!$D$4,Lookup!$F$4,Lookup!$F$5)))</f>
        <v>Low</v>
      </c>
      <c r="M5" s="16" t="s">
        <v>63</v>
      </c>
      <c r="N5" s="18" t="s">
        <v>64</v>
      </c>
      <c r="O5" s="18" t="s">
        <v>65</v>
      </c>
      <c r="P5" s="18" t="s">
        <v>25</v>
      </c>
    </row>
    <row r="6" customFormat="false" ht="90" hidden="false" customHeight="true" outlineLevel="0" collapsed="false">
      <c r="A6" s="14" t="s">
        <v>66</v>
      </c>
      <c r="B6" s="15" t="s">
        <v>67</v>
      </c>
      <c r="C6" s="15" t="s">
        <v>53</v>
      </c>
      <c r="D6" s="16" t="s">
        <v>68</v>
      </c>
      <c r="E6" s="16" t="s">
        <v>69</v>
      </c>
      <c r="F6" s="17" t="n">
        <v>2</v>
      </c>
      <c r="G6" s="17" t="n">
        <v>4</v>
      </c>
      <c r="H6" s="14" t="n">
        <f aca="false">G6-F6</f>
        <v>2</v>
      </c>
      <c r="I6" s="18" t="s">
        <v>10</v>
      </c>
      <c r="J6" s="14" t="n">
        <f aca="false">VLOOKUP(I6,Lookup!$A$2:$B$4,2,FALSE())</f>
        <v>3</v>
      </c>
      <c r="K6" s="14" t="n">
        <f aca="false">H6*J6</f>
        <v>6</v>
      </c>
      <c r="L6" s="14" t="str">
        <f aca="false">IF(K6&gt;=Lookup!$D$2,Lookup!$F$2,IF(K6&gt;=Lookup!$D$3,Lookup!$F$3,IF(K6&gt;=Lookup!$D$4,Lookup!$F$4,Lookup!$F$5)))</f>
        <v>High</v>
      </c>
      <c r="M6" s="16" t="s">
        <v>70</v>
      </c>
      <c r="N6" s="18" t="s">
        <v>57</v>
      </c>
      <c r="O6" s="18" t="s">
        <v>71</v>
      </c>
      <c r="P6" s="18" t="s">
        <v>25</v>
      </c>
    </row>
    <row r="7" customFormat="false" ht="90" hidden="false" customHeight="true" outlineLevel="0" collapsed="false">
      <c r="A7" s="14" t="s">
        <v>72</v>
      </c>
      <c r="B7" s="15" t="s">
        <v>73</v>
      </c>
      <c r="C7" s="15" t="s">
        <v>53</v>
      </c>
      <c r="D7" s="16" t="s">
        <v>74</v>
      </c>
      <c r="E7" s="16" t="s">
        <v>75</v>
      </c>
      <c r="F7" s="17" t="n">
        <v>2</v>
      </c>
      <c r="G7" s="17" t="n">
        <v>3</v>
      </c>
      <c r="H7" s="14" t="n">
        <f aca="false">G7-F7</f>
        <v>1</v>
      </c>
      <c r="I7" s="18" t="s">
        <v>10</v>
      </c>
      <c r="J7" s="14" t="n">
        <f aca="false">VLOOKUP(I7,Lookup!$A$2:$B$4,2,FALSE())</f>
        <v>3</v>
      </c>
      <c r="K7" s="14" t="n">
        <f aca="false">H7*J7</f>
        <v>3</v>
      </c>
      <c r="L7" s="14" t="str">
        <f aca="false">IF(K7&gt;=Lookup!$D$2,Lookup!$F$2,IF(K7&gt;=Lookup!$D$3,Lookup!$F$3,IF(K7&gt;=Lookup!$D$4,Lookup!$F$4,Lookup!$F$5)))</f>
        <v>Medium</v>
      </c>
      <c r="M7" s="16" t="s">
        <v>76</v>
      </c>
      <c r="N7" s="18" t="s">
        <v>57</v>
      </c>
      <c r="O7" s="18" t="s">
        <v>77</v>
      </c>
      <c r="P7" s="18" t="s">
        <v>25</v>
      </c>
    </row>
    <row r="8" customFormat="false" ht="90" hidden="false" customHeight="true" outlineLevel="0" collapsed="false">
      <c r="A8" s="14" t="s">
        <v>78</v>
      </c>
      <c r="B8" s="15" t="s">
        <v>79</v>
      </c>
      <c r="C8" s="15" t="s">
        <v>53</v>
      </c>
      <c r="D8" s="16" t="s">
        <v>80</v>
      </c>
      <c r="E8" s="16" t="s">
        <v>81</v>
      </c>
      <c r="F8" s="17" t="n">
        <v>1</v>
      </c>
      <c r="G8" s="17" t="n">
        <v>4</v>
      </c>
      <c r="H8" s="14" t="n">
        <f aca="false">G8-F8</f>
        <v>3</v>
      </c>
      <c r="I8" s="18" t="s">
        <v>10</v>
      </c>
      <c r="J8" s="14" t="n">
        <f aca="false">VLOOKUP(I8,Lookup!$A$2:$B$4,2,FALSE())</f>
        <v>3</v>
      </c>
      <c r="K8" s="14" t="n">
        <f aca="false">H8*J8</f>
        <v>9</v>
      </c>
      <c r="L8" s="14" t="str">
        <f aca="false">IF(K8&gt;=Lookup!$D$2,Lookup!$F$2,IF(K8&gt;=Lookup!$D$3,Lookup!$F$3,IF(K8&gt;=Lookup!$D$4,Lookup!$F$4,Lookup!$F$5)))</f>
        <v>Critical</v>
      </c>
      <c r="M8" s="16" t="s">
        <v>82</v>
      </c>
      <c r="N8" s="18" t="s">
        <v>57</v>
      </c>
      <c r="O8" s="18" t="s">
        <v>83</v>
      </c>
      <c r="P8" s="18" t="s">
        <v>25</v>
      </c>
    </row>
    <row r="9" customFormat="false" ht="90" hidden="false" customHeight="true" outlineLevel="0" collapsed="false">
      <c r="A9" s="14" t="s">
        <v>84</v>
      </c>
      <c r="B9" s="15" t="s">
        <v>85</v>
      </c>
      <c r="C9" s="15" t="s">
        <v>53</v>
      </c>
      <c r="D9" s="16" t="s">
        <v>86</v>
      </c>
      <c r="E9" s="16" t="s">
        <v>87</v>
      </c>
      <c r="F9" s="17" t="n">
        <v>3</v>
      </c>
      <c r="G9" s="17" t="n">
        <v>3</v>
      </c>
      <c r="H9" s="14" t="n">
        <f aca="false">G9-F9</f>
        <v>0</v>
      </c>
      <c r="I9" s="18" t="s">
        <v>12</v>
      </c>
      <c r="J9" s="14" t="n">
        <f aca="false">VLOOKUP(I9,Lookup!$A$2:$B$4,2,FALSE())</f>
        <v>2</v>
      </c>
      <c r="K9" s="14" t="n">
        <f aca="false">H9*J9</f>
        <v>0</v>
      </c>
      <c r="L9" s="14" t="str">
        <f aca="false">IF(K9&gt;=Lookup!$D$2,Lookup!$F$2,IF(K9&gt;=Lookup!$D$3,Lookup!$F$3,IF(K9&gt;=Lookup!$D$4,Lookup!$F$4,Lookup!$F$5)))</f>
        <v>Low</v>
      </c>
      <c r="M9" s="16" t="s">
        <v>88</v>
      </c>
      <c r="N9" s="18" t="s">
        <v>57</v>
      </c>
      <c r="O9" s="18" t="s">
        <v>65</v>
      </c>
      <c r="P9" s="18" t="s">
        <v>25</v>
      </c>
    </row>
    <row r="10" customFormat="false" ht="90" hidden="false" customHeight="true" outlineLevel="0" collapsed="false">
      <c r="A10" s="14" t="s">
        <v>89</v>
      </c>
      <c r="B10" s="15" t="s">
        <v>90</v>
      </c>
      <c r="C10" s="15" t="s">
        <v>53</v>
      </c>
      <c r="D10" s="16" t="s">
        <v>91</v>
      </c>
      <c r="E10" s="16" t="s">
        <v>92</v>
      </c>
      <c r="F10" s="17" t="n">
        <v>2</v>
      </c>
      <c r="G10" s="17" t="n">
        <v>4</v>
      </c>
      <c r="H10" s="14" t="n">
        <f aca="false">G10-F10</f>
        <v>2</v>
      </c>
      <c r="I10" s="18" t="s">
        <v>10</v>
      </c>
      <c r="J10" s="14" t="n">
        <f aca="false">VLOOKUP(I10,Lookup!$A$2:$B$4,2,FALSE())</f>
        <v>3</v>
      </c>
      <c r="K10" s="14" t="n">
        <f aca="false">H10*J10</f>
        <v>6</v>
      </c>
      <c r="L10" s="14" t="str">
        <f aca="false">IF(K10&gt;=Lookup!$D$2,Lookup!$F$2,IF(K10&gt;=Lookup!$D$3,Lookup!$F$3,IF(K10&gt;=Lookup!$D$4,Lookup!$F$4,Lookup!$F$5)))</f>
        <v>High</v>
      </c>
      <c r="M10" s="16" t="s">
        <v>93</v>
      </c>
      <c r="N10" s="18" t="s">
        <v>94</v>
      </c>
      <c r="O10" s="18" t="s">
        <v>95</v>
      </c>
      <c r="P10" s="18" t="s">
        <v>27</v>
      </c>
    </row>
    <row r="11" customFormat="false" ht="90" hidden="false" customHeight="true" outlineLevel="0" collapsed="false">
      <c r="A11" s="14" t="s">
        <v>96</v>
      </c>
      <c r="B11" s="15" t="s">
        <v>97</v>
      </c>
      <c r="C11" s="15" t="s">
        <v>53</v>
      </c>
      <c r="D11" s="16" t="s">
        <v>98</v>
      </c>
      <c r="E11" s="16" t="s">
        <v>99</v>
      </c>
      <c r="F11" s="17" t="n">
        <v>3</v>
      </c>
      <c r="G11" s="17" t="n">
        <v>4</v>
      </c>
      <c r="H11" s="14" t="n">
        <f aca="false">G11-F11</f>
        <v>1</v>
      </c>
      <c r="I11" s="18" t="s">
        <v>10</v>
      </c>
      <c r="J11" s="14" t="n">
        <f aca="false">VLOOKUP(I11,Lookup!$A$2:$B$4,2,FALSE())</f>
        <v>3</v>
      </c>
      <c r="K11" s="14" t="n">
        <f aca="false">H11*J11</f>
        <v>3</v>
      </c>
      <c r="L11" s="14" t="str">
        <f aca="false">IF(K11&gt;=Lookup!$D$2,Lookup!$F$2,IF(K11&gt;=Lookup!$D$3,Lookup!$F$3,IF(K11&gt;=Lookup!$D$4,Lookup!$F$4,Lookup!$F$5)))</f>
        <v>Medium</v>
      </c>
      <c r="M11" s="16" t="s">
        <v>100</v>
      </c>
      <c r="N11" s="18" t="s">
        <v>57</v>
      </c>
      <c r="O11" s="18" t="s">
        <v>101</v>
      </c>
      <c r="P11" s="18" t="s">
        <v>27</v>
      </c>
    </row>
    <row r="12" customFormat="false" ht="90" hidden="false" customHeight="true" outlineLevel="0" collapsed="false">
      <c r="A12" s="14" t="s">
        <v>102</v>
      </c>
      <c r="B12" s="15" t="s">
        <v>103</v>
      </c>
      <c r="C12" s="15" t="s">
        <v>104</v>
      </c>
      <c r="D12" s="16" t="s">
        <v>105</v>
      </c>
      <c r="E12" s="16" t="s">
        <v>106</v>
      </c>
      <c r="F12" s="17" t="n">
        <v>1</v>
      </c>
      <c r="G12" s="17" t="n">
        <v>3</v>
      </c>
      <c r="H12" s="14" t="n">
        <f aca="false">G12-F12</f>
        <v>2</v>
      </c>
      <c r="I12" s="18" t="s">
        <v>10</v>
      </c>
      <c r="J12" s="14" t="n">
        <f aca="false">VLOOKUP(I12,Lookup!$A$2:$B$4,2,FALSE())</f>
        <v>3</v>
      </c>
      <c r="K12" s="14" t="n">
        <f aca="false">H12*J12</f>
        <v>6</v>
      </c>
      <c r="L12" s="14" t="str">
        <f aca="false">IF(K12&gt;=Lookup!$D$2,Lookup!$F$2,IF(K12&gt;=Lookup!$D$3,Lookup!$F$3,IF(K12&gt;=Lookup!$D$4,Lookup!$F$4,Lookup!$F$5)))</f>
        <v>High</v>
      </c>
      <c r="M12" s="16" t="s">
        <v>107</v>
      </c>
      <c r="N12" s="18" t="s">
        <v>108</v>
      </c>
      <c r="O12" s="18" t="s">
        <v>58</v>
      </c>
      <c r="P12" s="18" t="s">
        <v>25</v>
      </c>
    </row>
    <row r="13" customFormat="false" ht="90" hidden="false" customHeight="true" outlineLevel="0" collapsed="false">
      <c r="A13" s="14" t="s">
        <v>109</v>
      </c>
      <c r="B13" s="15" t="s">
        <v>110</v>
      </c>
      <c r="C13" s="15" t="s">
        <v>104</v>
      </c>
      <c r="D13" s="16" t="s">
        <v>111</v>
      </c>
      <c r="E13" s="16" t="s">
        <v>112</v>
      </c>
      <c r="F13" s="17" t="n">
        <v>2</v>
      </c>
      <c r="G13" s="17" t="n">
        <v>3</v>
      </c>
      <c r="H13" s="14" t="n">
        <f aca="false">G13-F13</f>
        <v>1</v>
      </c>
      <c r="I13" s="18" t="s">
        <v>10</v>
      </c>
      <c r="J13" s="14" t="n">
        <f aca="false">VLOOKUP(I13,Lookup!$A$2:$B$4,2,FALSE())</f>
        <v>3</v>
      </c>
      <c r="K13" s="14" t="n">
        <f aca="false">H13*J13</f>
        <v>3</v>
      </c>
      <c r="L13" s="14" t="str">
        <f aca="false">IF(K13&gt;=Lookup!$D$2,Lookup!$F$2,IF(K13&gt;=Lookup!$D$3,Lookup!$F$3,IF(K13&gt;=Lookup!$D$4,Lookup!$F$4,Lookup!$F$5)))</f>
        <v>Medium</v>
      </c>
      <c r="M13" s="16" t="s">
        <v>113</v>
      </c>
      <c r="N13" s="18" t="s">
        <v>108</v>
      </c>
      <c r="O13" s="18" t="s">
        <v>114</v>
      </c>
      <c r="P13" s="18" t="s">
        <v>25</v>
      </c>
    </row>
    <row r="14" customFormat="false" ht="90" hidden="false" customHeight="true" outlineLevel="0" collapsed="false">
      <c r="A14" s="14" t="s">
        <v>115</v>
      </c>
      <c r="B14" s="15" t="s">
        <v>116</v>
      </c>
      <c r="C14" s="15" t="s">
        <v>104</v>
      </c>
      <c r="D14" s="16" t="s">
        <v>117</v>
      </c>
      <c r="E14" s="16" t="s">
        <v>118</v>
      </c>
      <c r="F14" s="17" t="n">
        <v>1</v>
      </c>
      <c r="G14" s="17" t="n">
        <v>3</v>
      </c>
      <c r="H14" s="14" t="n">
        <f aca="false">G14-F14</f>
        <v>2</v>
      </c>
      <c r="I14" s="18" t="s">
        <v>12</v>
      </c>
      <c r="J14" s="14" t="n">
        <f aca="false">VLOOKUP(I14,Lookup!$A$2:$B$4,2,FALSE())</f>
        <v>2</v>
      </c>
      <c r="K14" s="14" t="n">
        <f aca="false">H14*J14</f>
        <v>4</v>
      </c>
      <c r="L14" s="14" t="str">
        <f aca="false">IF(K14&gt;=Lookup!$D$2,Lookup!$F$2,IF(K14&gt;=Lookup!$D$3,Lookup!$F$3,IF(K14&gt;=Lookup!$D$4,Lookup!$F$4,Lookup!$F$5)))</f>
        <v>Medium</v>
      </c>
      <c r="M14" s="16" t="s">
        <v>119</v>
      </c>
      <c r="N14" s="18" t="s">
        <v>108</v>
      </c>
      <c r="O14" s="18" t="s">
        <v>120</v>
      </c>
      <c r="P14" s="18" t="s">
        <v>25</v>
      </c>
    </row>
    <row r="15" customFormat="false" ht="90" hidden="false" customHeight="true" outlineLevel="0" collapsed="false">
      <c r="A15" s="14" t="s">
        <v>121</v>
      </c>
      <c r="B15" s="15" t="s">
        <v>122</v>
      </c>
      <c r="C15" s="15" t="s">
        <v>104</v>
      </c>
      <c r="D15" s="16" t="s">
        <v>123</v>
      </c>
      <c r="E15" s="16" t="s">
        <v>124</v>
      </c>
      <c r="F15" s="17" t="n">
        <v>1</v>
      </c>
      <c r="G15" s="17" t="n">
        <v>3</v>
      </c>
      <c r="H15" s="14" t="n">
        <f aca="false">G15-F15</f>
        <v>2</v>
      </c>
      <c r="I15" s="18" t="s">
        <v>10</v>
      </c>
      <c r="J15" s="14" t="n">
        <f aca="false">VLOOKUP(I15,Lookup!$A$2:$B$4,2,FALSE())</f>
        <v>3</v>
      </c>
      <c r="K15" s="14" t="n">
        <f aca="false">H15*J15</f>
        <v>6</v>
      </c>
      <c r="L15" s="14" t="str">
        <f aca="false">IF(K15&gt;=Lookup!$D$2,Lookup!$F$2,IF(K15&gt;=Lookup!$D$3,Lookup!$F$3,IF(K15&gt;=Lookup!$D$4,Lookup!$F$4,Lookup!$F$5)))</f>
        <v>High</v>
      </c>
      <c r="M15" s="16" t="s">
        <v>125</v>
      </c>
      <c r="N15" s="18" t="s">
        <v>108</v>
      </c>
      <c r="O15" s="18" t="s">
        <v>83</v>
      </c>
      <c r="P15" s="18" t="s">
        <v>25</v>
      </c>
    </row>
    <row r="16" customFormat="false" ht="90" hidden="false" customHeight="true" outlineLevel="0" collapsed="false">
      <c r="A16" s="14" t="s">
        <v>126</v>
      </c>
      <c r="B16" s="15" t="s">
        <v>127</v>
      </c>
      <c r="C16" s="15" t="s">
        <v>104</v>
      </c>
      <c r="D16" s="16" t="s">
        <v>128</v>
      </c>
      <c r="E16" s="16" t="s">
        <v>129</v>
      </c>
      <c r="F16" s="17" t="n">
        <v>2</v>
      </c>
      <c r="G16" s="17" t="n">
        <v>4</v>
      </c>
      <c r="H16" s="14" t="n">
        <f aca="false">G16-F16</f>
        <v>2</v>
      </c>
      <c r="I16" s="18" t="s">
        <v>10</v>
      </c>
      <c r="J16" s="14" t="n">
        <f aca="false">VLOOKUP(I16,Lookup!$A$2:$B$4,2,FALSE())</f>
        <v>3</v>
      </c>
      <c r="K16" s="14" t="n">
        <f aca="false">H16*J16</f>
        <v>6</v>
      </c>
      <c r="L16" s="14" t="str">
        <f aca="false">IF(K16&gt;=Lookup!$D$2,Lookup!$F$2,IF(K16&gt;=Lookup!$D$3,Lookup!$F$3,IF(K16&gt;=Lookup!$D$4,Lookup!$F$4,Lookup!$F$5)))</f>
        <v>High</v>
      </c>
      <c r="M16" s="16" t="s">
        <v>130</v>
      </c>
      <c r="N16" s="18" t="s">
        <v>57</v>
      </c>
      <c r="O16" s="18" t="s">
        <v>77</v>
      </c>
      <c r="P16" s="18" t="s">
        <v>25</v>
      </c>
    </row>
  </sheetData>
  <mergeCells count="2">
    <mergeCell ref="A1:P1"/>
    <mergeCell ref="A2:P2"/>
  </mergeCells>
  <conditionalFormatting sqref="L4:L16">
    <cfRule type="cellIs" priority="2" operator="equal" aboveAverage="0" equalAverage="0" bottom="0" percent="0" rank="0" text="" dxfId="0">
      <formula>"Critical"</formula>
    </cfRule>
    <cfRule type="cellIs" priority="3" operator="equal" aboveAverage="0" equalAverage="0" bottom="0" percent="0" rank="0" text="" dxfId="1">
      <formula>"High"</formula>
    </cfRule>
    <cfRule type="cellIs" priority="4" operator="equal" aboveAverage="0" equalAverage="0" bottom="0" percent="0" rank="0" text="" dxfId="2">
      <formula>"Medium"</formula>
    </cfRule>
    <cfRule type="cellIs" priority="5" operator="equal" aboveAverage="0" equalAverage="0" bottom="0" percent="0" rank="0" text="" dxfId="3">
      <formula>"Low"</formula>
    </cfRule>
  </conditionalFormatting>
  <dataValidations count="3">
    <dataValidation allowBlank="false" errorStyle="stop" operator="between" showDropDown="false" showErrorMessage="false" showInputMessage="false" sqref="I4:I16" type="list">
      <formula1>Lookup!$A$2:$A$4</formula1>
      <formula2>0</formula2>
    </dataValidation>
    <dataValidation allowBlank="false" errorStyle="stop" operator="between" showDropDown="false" showErrorMessage="false" showInputMessage="false" sqref="P4:P16" type="list">
      <formula1>Lookup!$H$2:$H$4</formula1>
      <formula2>0</formula2>
    </dataValidation>
    <dataValidation allowBlank="false" errorStyle="stop" operator="between" showDropDown="false" showErrorMessage="false" showInputMessage="false" sqref="F4:G16" type="list">
      <formula1>Lookup!$J$2:$J$7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2026-07-04T19:08:14Z</dcterms:created>
  <dc:creator>openpyxl</dc:creator>
  <dc:description/>
  <dc:language>en-US</dc:language>
  <cp:lastModifiedBy/>
  <dcterms:modified xsi:type="dcterms:W3CDTF">2026-07-04T19:08:24Z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